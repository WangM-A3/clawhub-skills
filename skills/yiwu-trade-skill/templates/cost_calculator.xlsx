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计算器" sheetId="1" state="visible" r:id="rId1"/>
    <sheet xmlns:r="http://schemas.openxmlformats.org/officeDocument/2006/relationships" name="订单利润分析" sheetId="2" state="visible" r:id="rId2"/>
    <sheet xmlns:r="http://schemas.openxmlformats.org/officeDocument/2006/relationships" name="多产品成本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义乌外贸 - 订单成本计算器</t>
        </is>
      </c>
    </row>
    <row r="3">
      <c r="A3" s="2" t="inlineStr">
        <is>
          <t>【输入参数】</t>
        </is>
      </c>
    </row>
    <row r="5">
      <c r="A5" s="3" t="inlineStr">
        <is>
          <t>商品名称:</t>
        </is>
      </c>
      <c r="B5" s="4" t="inlineStr">
        <is>
          <t>请输入商品名称</t>
        </is>
      </c>
    </row>
    <row r="6">
      <c r="A6" s="3" t="inlineStr">
        <is>
          <t>订单数量:</t>
        </is>
      </c>
      <c r="B6" s="4" t="n">
        <v>1000</v>
      </c>
    </row>
    <row r="7">
      <c r="A7" s="3" t="inlineStr">
        <is>
          <t>出厂单价(¥):</t>
        </is>
      </c>
      <c r="B7" s="4" t="n">
        <v>10</v>
      </c>
    </row>
    <row r="8">
      <c r="A8" s="3" t="inlineStr">
        <is>
          <t>包装费用(¥/件):</t>
        </is>
      </c>
      <c r="B8" s="4" t="n">
        <v>0.5</v>
      </c>
    </row>
    <row r="9">
      <c r="A9" s="3" t="inlineStr">
        <is>
          <t>国内运输(¥):</t>
        </is>
      </c>
      <c r="B9" s="4" t="n">
        <v>200</v>
      </c>
    </row>
    <row r="10">
      <c r="A10" s="3" t="inlineStr">
        <is>
          <t>装柜费(¥):</t>
        </is>
      </c>
      <c r="B10" s="4" t="n">
        <v>150</v>
      </c>
    </row>
    <row r="11">
      <c r="A11" s="3" t="inlineStr">
        <is>
          <t>验货费(¥):</t>
        </is>
      </c>
      <c r="B11" s="4" t="n">
        <v>50</v>
      </c>
    </row>
    <row r="12">
      <c r="A12" s="3" t="inlineStr">
        <is>
          <t>国际运费(¥):</t>
        </is>
      </c>
      <c r="B12" s="4" t="n">
        <v>800</v>
      </c>
    </row>
    <row r="13">
      <c r="A13" s="3" t="inlineStr">
        <is>
          <t>海运附加费(¥):</t>
        </is>
      </c>
      <c r="B13" s="4" t="n">
        <v>100</v>
      </c>
    </row>
    <row r="14">
      <c r="A14" s="3" t="inlineStr">
        <is>
          <t>货运保险(¥):</t>
        </is>
      </c>
      <c r="B14" s="4" t="n">
        <v>50</v>
      </c>
    </row>
    <row r="15">
      <c r="A15" s="3" t="inlineStr">
        <is>
          <t>结汇汇率:</t>
        </is>
      </c>
      <c r="B15" s="4" t="n">
        <v>7.25</v>
      </c>
    </row>
    <row r="16">
      <c r="A16" s="3" t="inlineStr">
        <is>
          <t>目标毛利率(%):</t>
        </is>
      </c>
      <c r="B16" s="4" t="n">
        <v>25</v>
      </c>
    </row>
    <row r="18">
      <c r="A18" s="2" t="inlineStr">
        <is>
          <t>【计算结果】</t>
        </is>
      </c>
    </row>
    <row r="19">
      <c r="A19" s="3" t="inlineStr">
        <is>
          <t>FOB成本合计(¥):</t>
        </is>
      </c>
      <c r="B19" s="5">
        <f>B8+B9+B10+B11+B12</f>
        <v/>
      </c>
    </row>
    <row r="20">
      <c r="A20" s="3" t="inlineStr">
        <is>
          <t>单件FOB成本(¥):</t>
        </is>
      </c>
      <c r="B20" s="5">
        <f>B17/B6</f>
        <v/>
      </c>
    </row>
    <row r="21">
      <c r="A21" s="3" t="inlineStr">
        <is>
          <t>CIF成本合计(¥):</t>
        </is>
      </c>
      <c r="B21" s="5">
        <f>B17+B13+B14+B15</f>
        <v/>
      </c>
    </row>
    <row r="22">
      <c r="A22" s="3" t="inlineStr">
        <is>
          <t>单件CIF成本(¥):</t>
        </is>
      </c>
      <c r="B22" s="5">
        <f>B19/B6</f>
        <v/>
      </c>
    </row>
    <row r="23">
      <c r="A23" s="3" t="inlineStr">
        <is>
          <t>FOB报价($):</t>
        </is>
      </c>
      <c r="B23" s="5">
        <f>B18/(1-B16/100)</f>
        <v/>
      </c>
    </row>
    <row r="24">
      <c r="A24" s="3" t="inlineStr">
        <is>
          <t>CIF报价($):</t>
        </is>
      </c>
      <c r="B24" s="5">
        <f>B20/(1-B16/100)</f>
        <v/>
      </c>
    </row>
    <row r="25">
      <c r="A25" s="3" t="inlineStr">
        <is>
          <t>毛利润(¥):</t>
        </is>
      </c>
      <c r="B25" s="5">
        <f>B21*B6-B17</f>
        <v/>
      </c>
    </row>
    <row r="26">
      <c r="A26" s="3" t="inlineStr">
        <is>
          <t>毛利润(订单):</t>
        </is>
      </c>
      <c r="B26" s="5">
        <f>B22-B19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订单利润分析表</t>
        </is>
      </c>
    </row>
    <row r="3">
      <c r="A3" s="6" t="inlineStr">
        <is>
          <t>项目</t>
        </is>
      </c>
      <c r="B3" s="6" t="inlineStr">
        <is>
          <t>金额(¥)</t>
        </is>
      </c>
      <c r="C3" s="6" t="inlineStr">
        <is>
          <t>占比</t>
        </is>
      </c>
      <c r="D3" s="6" t="inlineStr">
        <is>
          <t>说明</t>
        </is>
      </c>
      <c r="E3" s="6" t="inlineStr"/>
    </row>
    <row r="4">
      <c r="A4" s="3" t="inlineStr">
        <is>
          <t>【收入】</t>
        </is>
      </c>
      <c r="B4" s="3" t="inlineStr"/>
      <c r="C4" s="3" t="inlineStr"/>
      <c r="D4" s="3" t="inlineStr"/>
    </row>
    <row r="5">
      <c r="A5" s="3" t="inlineStr">
        <is>
          <t>出口货款(USD)</t>
        </is>
      </c>
      <c r="B5" s="5">
        <f>B15*B16</f>
        <v/>
      </c>
      <c r="C5" s="3" t="inlineStr">
        <is>
          <t>100%</t>
        </is>
      </c>
      <c r="D5" s="3" t="inlineStr">
        <is>
          <t>数量×单价</t>
        </is>
      </c>
    </row>
    <row r="6">
      <c r="A6" s="3" t="inlineStr">
        <is>
          <t>结汇汇率</t>
        </is>
      </c>
      <c r="B6" s="3" t="n">
        <v>7.25</v>
      </c>
      <c r="C6" s="3" t="inlineStr">
        <is>
          <t>-</t>
        </is>
      </c>
      <c r="D6" s="3" t="inlineStr"/>
    </row>
    <row r="7">
      <c r="A7" s="3" t="inlineStr">
        <is>
          <t>折合人民币</t>
        </is>
      </c>
      <c r="B7" s="5">
        <f>B4*B5</f>
        <v/>
      </c>
      <c r="C7" s="3">
        <f>B6/B6*100</f>
        <v/>
      </c>
      <c r="D7" s="3" t="inlineStr">
        <is>
          <t>收入合计</t>
        </is>
      </c>
    </row>
    <row r="8">
      <c r="A8" s="3" t="inlineStr">
        <is>
          <t>【成本】</t>
        </is>
      </c>
      <c r="B8" s="3" t="inlineStr"/>
      <c r="C8" s="3" t="inlineStr"/>
      <c r="D8" s="3" t="inlineStr"/>
    </row>
    <row r="9">
      <c r="A9" s="3" t="inlineStr">
        <is>
          <t>商品采购成本</t>
        </is>
      </c>
      <c r="B9" s="3" t="inlineStr"/>
      <c r="C9" s="3" t="inlineStr"/>
      <c r="D9" s="3" t="inlineStr"/>
    </row>
    <row r="10">
      <c r="A10" s="3" t="inlineStr">
        <is>
          <t>包装材料</t>
        </is>
      </c>
      <c r="B10" s="3" t="inlineStr"/>
      <c r="C10" s="3" t="inlineStr"/>
      <c r="D10" s="3" t="inlineStr"/>
    </row>
    <row r="11">
      <c r="A11" s="3" t="inlineStr">
        <is>
          <t>国内运输</t>
        </is>
      </c>
      <c r="B11" s="3" t="inlineStr"/>
      <c r="C11" s="3" t="inlineStr"/>
      <c r="D11" s="3" t="inlineStr"/>
    </row>
    <row r="12">
      <c r="A12" s="3" t="inlineStr">
        <is>
          <t>国际运费</t>
        </is>
      </c>
      <c r="B12" s="3" t="inlineStr"/>
      <c r="C12" s="3" t="inlineStr"/>
      <c r="D12" s="3" t="inlineStr"/>
    </row>
    <row r="13">
      <c r="A13" s="3" t="inlineStr">
        <is>
          <t>银行手续费</t>
        </is>
      </c>
      <c r="B13" s="3" t="inlineStr"/>
      <c r="C13" s="3" t="inlineStr">
        <is>
          <t>0.5%</t>
        </is>
      </c>
      <c r="D13" s="3" t="inlineStr">
        <is>
          <t>约0.5%</t>
        </is>
      </c>
    </row>
    <row r="14">
      <c r="A14" s="3" t="inlineStr">
        <is>
          <t>平台佣金</t>
        </is>
      </c>
      <c r="B14" s="3" t="inlineStr"/>
      <c r="C14" s="3" t="inlineStr">
        <is>
          <t>1%</t>
        </is>
      </c>
      <c r="D14" s="3" t="inlineStr">
        <is>
          <t>约1%</t>
        </is>
      </c>
    </row>
    <row r="15">
      <c r="A15" s="3" t="inlineStr">
        <is>
          <t>其他费用</t>
        </is>
      </c>
      <c r="B15" s="3" t="inlineStr"/>
      <c r="C15" s="3" t="inlineStr"/>
      <c r="D15" s="3" t="inlineStr"/>
    </row>
    <row r="16">
      <c r="A16" s="3" t="inlineStr">
        <is>
          <t>成本合计</t>
        </is>
      </c>
      <c r="B16" s="5">
        <f>SUM(B8:B13)</f>
        <v/>
      </c>
      <c r="C16" s="3">
        <f>B14/B6*100</f>
        <v/>
      </c>
      <c r="D16" s="3" t="inlineStr"/>
    </row>
    <row r="17">
      <c r="A17" s="3" t="inlineStr">
        <is>
          <t>【利润】</t>
        </is>
      </c>
      <c r="B17" s="3" t="inlineStr"/>
      <c r="C17" s="3" t="inlineStr"/>
      <c r="D17" s="3" t="inlineStr"/>
    </row>
    <row r="18">
      <c r="A18" s="3" t="inlineStr">
        <is>
          <t>毛利润</t>
        </is>
      </c>
      <c r="B18" s="5">
        <f>B6-B14</f>
        <v/>
      </c>
      <c r="C18" s="3">
        <f>B15/B6*100</f>
        <v/>
      </c>
      <c r="D18" s="3" t="inlineStr"/>
    </row>
    <row r="19">
      <c r="A19" s="3" t="inlineStr">
        <is>
          <t>订单数量</t>
        </is>
      </c>
      <c r="B19" s="3" t="n">
        <v>5000</v>
      </c>
      <c r="C19" s="3" t="inlineStr"/>
      <c r="D19" s="3" t="inlineStr"/>
    </row>
    <row r="20">
      <c r="A20" s="3" t="inlineStr">
        <is>
          <t>单价(USD)</t>
        </is>
      </c>
      <c r="B20" s="3" t="n">
        <v>2.8</v>
      </c>
      <c r="C20" s="3" t="inlineStr"/>
      <c r="D20" s="3" t="inlineStr"/>
    </row>
    <row r="21">
      <c r="A21" s="3" t="inlineStr">
        <is>
          <t>单件毛利(¥)</t>
        </is>
      </c>
      <c r="B21" s="5">
        <f>B15/B17</f>
        <v/>
      </c>
      <c r="C21" s="3" t="inlineStr"/>
      <c r="D21" s="3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多产品成本对比表</t>
        </is>
      </c>
    </row>
    <row r="3">
      <c r="A3" s="6" t="inlineStr">
        <is>
          <t>产品SKU</t>
        </is>
      </c>
      <c r="B3" s="6" t="inlineStr">
        <is>
          <t>品名</t>
        </is>
      </c>
      <c r="C3" s="6" t="inlineStr">
        <is>
          <t>数量</t>
        </is>
      </c>
      <c r="D3" s="6" t="inlineStr">
        <is>
          <t>出厂价(¥)</t>
        </is>
      </c>
      <c r="E3" s="6" t="inlineStr">
        <is>
          <t>FOB成本(¥)</t>
        </is>
      </c>
      <c r="F3" s="6" t="inlineStr">
        <is>
          <t>CIF成本(¥)</t>
        </is>
      </c>
      <c r="G3" s="6" t="inlineStr">
        <is>
          <t>FOB报价($)</t>
        </is>
      </c>
      <c r="H3" s="6" t="inlineStr">
        <is>
          <t>CIF报价($)</t>
        </is>
      </c>
      <c r="I3" s="6" t="inlineStr">
        <is>
          <t>毛利率(%)</t>
        </is>
      </c>
      <c r="J3" s="6" t="inlineStr">
        <is>
          <t>优先级</t>
        </is>
      </c>
    </row>
    <row r="4">
      <c r="A4" s="3" t="inlineStr">
        <is>
          <t>SKU-001</t>
        </is>
      </c>
      <c r="B4" s="3" t="inlineStr">
        <is>
          <t>圣诞饰品</t>
        </is>
      </c>
      <c r="C4" s="3" t="n">
        <v>5000</v>
      </c>
      <c r="D4" s="3" t="n">
        <v>10</v>
      </c>
      <c r="E4" s="4" t="inlineStr"/>
      <c r="F4" s="4" t="inlineStr"/>
      <c r="G4" s="4" t="inlineStr"/>
      <c r="H4" s="4" t="inlineStr"/>
      <c r="I4" s="4">
        <f>IF(E4="","",(G4*7.25-E4)/E4*100)</f>
        <v/>
      </c>
      <c r="J4" s="4" t="inlineStr"/>
    </row>
    <row r="5">
      <c r="A5" s="3" t="inlineStr">
        <is>
          <t>SKU-002</t>
        </is>
      </c>
      <c r="B5" s="3" t="inlineStr">
        <is>
          <t>玩具汽车</t>
        </is>
      </c>
      <c r="C5" s="3" t="n">
        <v>3000</v>
      </c>
      <c r="D5" s="3" t="n">
        <v>15</v>
      </c>
      <c r="E5" s="4" t="inlineStr"/>
      <c r="F5" s="4" t="inlineStr"/>
      <c r="G5" s="4" t="inlineStr"/>
      <c r="H5" s="4" t="inlineStr"/>
      <c r="I5" s="4" t="inlineStr"/>
      <c r="J5" s="4" t="inlineStr"/>
    </row>
    <row r="6">
      <c r="A6" s="3" t="inlineStr">
        <is>
          <t>SKU-003</t>
        </is>
      </c>
      <c r="B6" s="3" t="inlineStr">
        <is>
          <t>女士箱包</t>
        </is>
      </c>
      <c r="C6" s="3" t="n">
        <v>2000</v>
      </c>
      <c r="D6" s="3" t="n">
        <v>25</v>
      </c>
      <c r="E6" s="4" t="inlineStr"/>
      <c r="F6" s="4" t="inlineStr"/>
      <c r="G6" s="4" t="inlineStr"/>
      <c r="H6" s="4" t="inlineStr"/>
      <c r="I6" s="4" t="inlineStr"/>
      <c r="J6" s="4" t="inlineStr"/>
    </row>
    <row r="7">
      <c r="A7" s="3" t="inlineStr">
        <is>
          <t>SKU-004</t>
        </is>
      </c>
      <c r="B7" s="3" t="inlineStr">
        <is>
          <t>文具套装</t>
        </is>
      </c>
      <c r="C7" s="3" t="n">
        <v>8000</v>
      </c>
      <c r="D7" s="3" t="n">
        <v>3</v>
      </c>
      <c r="E7" s="4" t="inlineStr"/>
      <c r="F7" s="4" t="inlineStr"/>
      <c r="G7" s="4" t="inlineStr"/>
      <c r="H7" s="4" t="inlineStr"/>
      <c r="I7" s="4" t="inlineStr"/>
      <c r="J7" s="4" t="inlineStr"/>
    </row>
    <row r="8">
      <c r="A8" s="3" t="inlineStr">
        <is>
          <t>SKU-005</t>
        </is>
      </c>
      <c r="B8" s="3" t="inlineStr">
        <is>
          <t>家居装饰</t>
        </is>
      </c>
      <c r="C8" s="3" t="n">
        <v>4000</v>
      </c>
      <c r="D8" s="3" t="n">
        <v>8</v>
      </c>
      <c r="E8" s="4" t="inlineStr"/>
      <c r="F8" s="4" t="inlineStr"/>
      <c r="G8" s="4" t="inlineStr"/>
      <c r="H8" s="4" t="inlineStr"/>
      <c r="I8" s="4" t="inlineStr"/>
      <c r="J8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2026-04-26T01:00:11Z</dcterms:created>
  <dcterms:modified xmlns:dcterms="http://purl.org/dc/terms/" xmlns:xsi="http://www.w3.org/2001/XMLSchema-instance" xsi:type="dcterms:W3CDTF">2026-04-26T01:00:11Z</dcterms:modified>
</cp:coreProperties>
</file>