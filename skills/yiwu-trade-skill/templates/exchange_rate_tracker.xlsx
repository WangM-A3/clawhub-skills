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率追踪" sheetId="1" state="visible" r:id="rId1"/>
    <sheet xmlns:r="http://schemas.openxmlformats.org/officeDocument/2006/relationships" name="锁汇记录" sheetId="2" state="visible" r:id="rId2"/>
    <sheet xmlns:r="http://schemas.openxmlformats.org/officeDocument/2006/relationships" name="汇率敏感性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3" fillId="0" borderId="0" pivotButton="0" quotePrefix="0" xfId="0"/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0" customWidth="1" min="5" max="5"/>
    <col width="15" customWidth="1" min="6" max="6"/>
    <col width="15" customWidth="1" min="7" max="7"/>
  </cols>
  <sheetData>
    <row r="1">
      <c r="A1" s="1" t="inlineStr">
        <is>
          <t>义乌外贸 - 汇率追踪表</t>
        </is>
      </c>
    </row>
    <row r="3">
      <c r="A3" s="2" t="inlineStr">
        <is>
          <t>日期</t>
        </is>
      </c>
      <c r="B3" s="2" t="inlineStr">
        <is>
          <t>币种</t>
        </is>
      </c>
      <c r="C3" s="2" t="inlineStr">
        <is>
          <t>即期汇率</t>
        </is>
      </c>
      <c r="D3" s="2" t="inlineStr">
        <is>
          <t>目标汇率</t>
        </is>
      </c>
      <c r="E3" s="2" t="inlineStr">
        <is>
          <t>偏离度</t>
        </is>
      </c>
      <c r="F3" s="2" t="inlineStr">
        <is>
          <t>结汇金额(USD)</t>
        </is>
      </c>
      <c r="G3" s="2" t="inlineStr">
        <is>
          <t>结汇金额(CNY)</t>
        </is>
      </c>
    </row>
    <row r="4">
      <c r="A4" s="3" t="inlineStr">
        <is>
          <t>2026-04-01</t>
        </is>
      </c>
      <c r="B4" s="3" t="inlineStr">
        <is>
          <t>USD/CNY</t>
        </is>
      </c>
      <c r="C4" s="3" t="n">
        <v>7.15</v>
      </c>
      <c r="D4" s="3" t="n">
        <v>7.3</v>
      </c>
      <c r="E4" s="4" t="inlineStr">
        <is>
          <t>-2.05%</t>
        </is>
      </c>
      <c r="F4" s="3" t="n">
        <v>10000</v>
      </c>
      <c r="G4" s="3">
        <f>F4*C4</f>
        <v/>
      </c>
    </row>
    <row r="5">
      <c r="A5" s="3" t="inlineStr">
        <is>
          <t>2026-04-02</t>
        </is>
      </c>
      <c r="B5" s="3" t="inlineStr">
        <is>
          <t>USD/CNY</t>
        </is>
      </c>
      <c r="C5" s="3" t="n">
        <v>7.17</v>
      </c>
      <c r="D5" s="3" t="n">
        <v>7.3</v>
      </c>
      <c r="E5" s="4" t="inlineStr">
        <is>
          <t>-1.78%</t>
        </is>
      </c>
      <c r="F5" s="3" t="n">
        <v>10000</v>
      </c>
      <c r="G5" s="3">
        <f>F5*C5</f>
        <v/>
      </c>
    </row>
    <row r="6">
      <c r="A6" s="3" t="inlineStr">
        <is>
          <t>2026-04-03</t>
        </is>
      </c>
      <c r="B6" s="3" t="inlineStr">
        <is>
          <t>USD/CNY</t>
        </is>
      </c>
      <c r="C6" s="3" t="n">
        <v>7.19</v>
      </c>
      <c r="D6" s="3" t="n">
        <v>7.3</v>
      </c>
      <c r="E6" s="4" t="inlineStr">
        <is>
          <t>-1.51%</t>
        </is>
      </c>
      <c r="F6" s="3" t="n">
        <v>10000</v>
      </c>
      <c r="G6" s="3">
        <f>F6*C6</f>
        <v/>
      </c>
    </row>
    <row r="7">
      <c r="A7" s="3" t="inlineStr">
        <is>
          <t>2026-04-04</t>
        </is>
      </c>
      <c r="B7" s="3" t="inlineStr">
        <is>
          <t>USD/CNY</t>
        </is>
      </c>
      <c r="C7" s="3" t="n">
        <v>7.21</v>
      </c>
      <c r="D7" s="3" t="n">
        <v>7.3</v>
      </c>
      <c r="E7" s="4" t="inlineStr">
        <is>
          <t>-1.23%</t>
        </is>
      </c>
      <c r="F7" s="3" t="n">
        <v>10000</v>
      </c>
      <c r="G7" s="3">
        <f>F7*C7</f>
        <v/>
      </c>
    </row>
    <row r="8">
      <c r="A8" s="3" t="inlineStr">
        <is>
          <t>2026-04-05</t>
        </is>
      </c>
      <c r="B8" s="3" t="inlineStr">
        <is>
          <t>USD/CNY</t>
        </is>
      </c>
      <c r="C8" s="3" t="n">
        <v>7.23</v>
      </c>
      <c r="D8" s="3" t="n">
        <v>7.3</v>
      </c>
      <c r="E8" s="3" t="inlineStr">
        <is>
          <t>-0.96%</t>
        </is>
      </c>
      <c r="F8" s="3" t="n">
        <v>10000</v>
      </c>
      <c r="G8" s="3">
        <f>F8*C8</f>
        <v/>
      </c>
    </row>
    <row r="9">
      <c r="A9" s="3" t="inlineStr">
        <is>
          <t>2026-04-06</t>
        </is>
      </c>
      <c r="B9" s="3" t="inlineStr">
        <is>
          <t>USD/CNY</t>
        </is>
      </c>
      <c r="C9" s="3" t="n">
        <v>7.25</v>
      </c>
      <c r="D9" s="3" t="n">
        <v>7.3</v>
      </c>
      <c r="E9" s="3" t="inlineStr">
        <is>
          <t>-0.68%</t>
        </is>
      </c>
      <c r="F9" s="3" t="n">
        <v>10000</v>
      </c>
      <c r="G9" s="3">
        <f>F9*C9</f>
        <v/>
      </c>
    </row>
    <row r="10">
      <c r="A10" s="3" t="inlineStr">
        <is>
          <t>2026-04-07</t>
        </is>
      </c>
      <c r="B10" s="3" t="inlineStr">
        <is>
          <t>USD/CNY</t>
        </is>
      </c>
      <c r="C10" s="3" t="n">
        <v>7.27</v>
      </c>
      <c r="D10" s="3" t="n">
        <v>7.3</v>
      </c>
      <c r="E10" s="3" t="inlineStr">
        <is>
          <t>-0.41%</t>
        </is>
      </c>
      <c r="F10" s="3" t="n">
        <v>10000</v>
      </c>
      <c r="G10" s="3">
        <f>F10*C10</f>
        <v/>
      </c>
    </row>
    <row r="11">
      <c r="A11" s="3" t="inlineStr">
        <is>
          <t>2026-04-08</t>
        </is>
      </c>
      <c r="B11" s="3" t="inlineStr">
        <is>
          <t>USD/CNY</t>
        </is>
      </c>
      <c r="C11" s="3" t="n">
        <v>7.29</v>
      </c>
      <c r="D11" s="3" t="n">
        <v>7.3</v>
      </c>
      <c r="E11" s="3" t="inlineStr">
        <is>
          <t>-0.14%</t>
        </is>
      </c>
      <c r="F11" s="3" t="n">
        <v>10000</v>
      </c>
      <c r="G11" s="3">
        <f>F11*C11</f>
        <v/>
      </c>
    </row>
    <row r="12">
      <c r="A12" s="3" t="inlineStr">
        <is>
          <t>2026-04-09</t>
        </is>
      </c>
      <c r="B12" s="3" t="inlineStr">
        <is>
          <t>USD/CNY</t>
        </is>
      </c>
      <c r="C12" s="3" t="n">
        <v>7.31</v>
      </c>
      <c r="D12" s="3" t="n">
        <v>7.3</v>
      </c>
      <c r="E12" s="3" t="inlineStr">
        <is>
          <t>0.14%</t>
        </is>
      </c>
      <c r="F12" s="3" t="n">
        <v>10000</v>
      </c>
      <c r="G12" s="3">
        <f>F12*C12</f>
        <v/>
      </c>
    </row>
    <row r="13">
      <c r="A13" s="3" t="inlineStr">
        <is>
          <t>2026-04-10</t>
        </is>
      </c>
      <c r="B13" s="3" t="inlineStr">
        <is>
          <t>USD/CNY</t>
        </is>
      </c>
      <c r="C13" s="3" t="n">
        <v>7.33</v>
      </c>
      <c r="D13" s="3" t="n">
        <v>7.3</v>
      </c>
      <c r="E13" s="3" t="inlineStr">
        <is>
          <t>0.41%</t>
        </is>
      </c>
      <c r="F13" s="3" t="n">
        <v>10000</v>
      </c>
      <c r="G13" s="3">
        <f>F13*C13</f>
        <v/>
      </c>
    </row>
    <row r="14">
      <c r="A14" s="3" t="inlineStr">
        <is>
          <t>2026-04-11</t>
        </is>
      </c>
      <c r="B14" s="3" t="inlineStr">
        <is>
          <t>USD/CNY</t>
        </is>
      </c>
      <c r="C14" s="3" t="n">
        <v>7.15</v>
      </c>
      <c r="D14" s="3" t="n">
        <v>7.3</v>
      </c>
      <c r="E14" s="4" t="inlineStr">
        <is>
          <t>-2.05%</t>
        </is>
      </c>
      <c r="F14" s="3" t="n">
        <v>10000</v>
      </c>
      <c r="G14" s="3">
        <f>F14*C14</f>
        <v/>
      </c>
    </row>
    <row r="15">
      <c r="A15" s="3" t="inlineStr">
        <is>
          <t>2026-04-12</t>
        </is>
      </c>
      <c r="B15" s="3" t="inlineStr">
        <is>
          <t>USD/CNY</t>
        </is>
      </c>
      <c r="C15" s="3" t="n">
        <v>7.17</v>
      </c>
      <c r="D15" s="3" t="n">
        <v>7.3</v>
      </c>
      <c r="E15" s="4" t="inlineStr">
        <is>
          <t>-1.78%</t>
        </is>
      </c>
      <c r="F15" s="3" t="n">
        <v>10000</v>
      </c>
      <c r="G15" s="3">
        <f>F15*C15</f>
        <v/>
      </c>
    </row>
    <row r="16">
      <c r="A16" s="3" t="inlineStr">
        <is>
          <t>2026-04-13</t>
        </is>
      </c>
      <c r="B16" s="3" t="inlineStr">
        <is>
          <t>USD/CNY</t>
        </is>
      </c>
      <c r="C16" s="3" t="n">
        <v>7.19</v>
      </c>
      <c r="D16" s="3" t="n">
        <v>7.3</v>
      </c>
      <c r="E16" s="4" t="inlineStr">
        <is>
          <t>-1.51%</t>
        </is>
      </c>
      <c r="F16" s="3" t="n">
        <v>10000</v>
      </c>
      <c r="G16" s="3">
        <f>F16*C16</f>
        <v/>
      </c>
    </row>
    <row r="17">
      <c r="A17" s="3" t="inlineStr">
        <is>
          <t>2026-04-14</t>
        </is>
      </c>
      <c r="B17" s="3" t="inlineStr">
        <is>
          <t>USD/CNY</t>
        </is>
      </c>
      <c r="C17" s="3" t="n">
        <v>7.21</v>
      </c>
      <c r="D17" s="3" t="n">
        <v>7.3</v>
      </c>
      <c r="E17" s="4" t="inlineStr">
        <is>
          <t>-1.23%</t>
        </is>
      </c>
      <c r="F17" s="3" t="n">
        <v>10000</v>
      </c>
      <c r="G17" s="3">
        <f>F17*C17</f>
        <v/>
      </c>
    </row>
    <row r="18">
      <c r="A18" s="3" t="inlineStr">
        <is>
          <t>2026-04-15</t>
        </is>
      </c>
      <c r="B18" s="3" t="inlineStr">
        <is>
          <t>USD/CNY</t>
        </is>
      </c>
      <c r="C18" s="3" t="n">
        <v>7.23</v>
      </c>
      <c r="D18" s="3" t="n">
        <v>7.3</v>
      </c>
      <c r="E18" s="3" t="inlineStr">
        <is>
          <t>-0.96%</t>
        </is>
      </c>
      <c r="F18" s="3" t="n">
        <v>10000</v>
      </c>
      <c r="G18" s="3">
        <f>F18*C18</f>
        <v/>
      </c>
    </row>
    <row r="19">
      <c r="A19" s="3" t="inlineStr">
        <is>
          <t>2026-04-16</t>
        </is>
      </c>
      <c r="B19" s="3" t="inlineStr">
        <is>
          <t>USD/CNY</t>
        </is>
      </c>
      <c r="C19" s="3" t="n">
        <v>7.25</v>
      </c>
      <c r="D19" s="3" t="n">
        <v>7.3</v>
      </c>
      <c r="E19" s="3" t="inlineStr">
        <is>
          <t>-0.68%</t>
        </is>
      </c>
      <c r="F19" s="3" t="n">
        <v>10000</v>
      </c>
      <c r="G19" s="3">
        <f>F19*C19</f>
        <v/>
      </c>
    </row>
    <row r="20">
      <c r="A20" s="3" t="inlineStr">
        <is>
          <t>2026-04-17</t>
        </is>
      </c>
      <c r="B20" s="3" t="inlineStr">
        <is>
          <t>USD/CNY</t>
        </is>
      </c>
      <c r="C20" s="3" t="n">
        <v>7.27</v>
      </c>
      <c r="D20" s="3" t="n">
        <v>7.3</v>
      </c>
      <c r="E20" s="3" t="inlineStr">
        <is>
          <t>-0.41%</t>
        </is>
      </c>
      <c r="F20" s="3" t="n">
        <v>10000</v>
      </c>
      <c r="G20" s="3">
        <f>F20*C20</f>
        <v/>
      </c>
    </row>
    <row r="21">
      <c r="A21" s="3" t="inlineStr">
        <is>
          <t>2026-04-18</t>
        </is>
      </c>
      <c r="B21" s="3" t="inlineStr">
        <is>
          <t>USD/CNY</t>
        </is>
      </c>
      <c r="C21" s="3" t="n">
        <v>7.29</v>
      </c>
      <c r="D21" s="3" t="n">
        <v>7.3</v>
      </c>
      <c r="E21" s="3" t="inlineStr">
        <is>
          <t>-0.14%</t>
        </is>
      </c>
      <c r="F21" s="3" t="n">
        <v>10000</v>
      </c>
      <c r="G21" s="3">
        <f>F21*C21</f>
        <v/>
      </c>
    </row>
    <row r="22">
      <c r="A22" s="3" t="inlineStr">
        <is>
          <t>2026-04-19</t>
        </is>
      </c>
      <c r="B22" s="3" t="inlineStr">
        <is>
          <t>USD/CNY</t>
        </is>
      </c>
      <c r="C22" s="3" t="n">
        <v>7.31</v>
      </c>
      <c r="D22" s="3" t="n">
        <v>7.3</v>
      </c>
      <c r="E22" s="3" t="inlineStr">
        <is>
          <t>0.14%</t>
        </is>
      </c>
      <c r="F22" s="3" t="n">
        <v>10000</v>
      </c>
      <c r="G22" s="3">
        <f>F22*C22</f>
        <v/>
      </c>
    </row>
    <row r="23">
      <c r="A23" s="3" t="inlineStr">
        <is>
          <t>2026-04-20</t>
        </is>
      </c>
      <c r="B23" s="3" t="inlineStr">
        <is>
          <t>USD/CNY</t>
        </is>
      </c>
      <c r="C23" s="3" t="n">
        <v>7.33</v>
      </c>
      <c r="D23" s="3" t="n">
        <v>7.3</v>
      </c>
      <c r="E23" s="3" t="inlineStr">
        <is>
          <t>0.41%</t>
        </is>
      </c>
      <c r="F23" s="3" t="n">
        <v>10000</v>
      </c>
      <c r="G23" s="3">
        <f>F23*C23</f>
        <v/>
      </c>
    </row>
    <row r="24">
      <c r="A24" s="3" t="inlineStr">
        <is>
          <t>2026-04-21</t>
        </is>
      </c>
      <c r="B24" s="3" t="inlineStr">
        <is>
          <t>USD/CNY</t>
        </is>
      </c>
      <c r="C24" s="3" t="n">
        <v>7.15</v>
      </c>
      <c r="D24" s="3" t="n">
        <v>7.3</v>
      </c>
      <c r="E24" s="4" t="inlineStr">
        <is>
          <t>-2.05%</t>
        </is>
      </c>
      <c r="F24" s="3" t="n">
        <v>10000</v>
      </c>
      <c r="G24" s="3">
        <f>F24*C24</f>
        <v/>
      </c>
    </row>
    <row r="25">
      <c r="A25" s="3" t="inlineStr">
        <is>
          <t>2026-04-22</t>
        </is>
      </c>
      <c r="B25" s="3" t="inlineStr">
        <is>
          <t>USD/CNY</t>
        </is>
      </c>
      <c r="C25" s="3" t="n">
        <v>7.17</v>
      </c>
      <c r="D25" s="3" t="n">
        <v>7.3</v>
      </c>
      <c r="E25" s="4" t="inlineStr">
        <is>
          <t>-1.78%</t>
        </is>
      </c>
      <c r="F25" s="3" t="n">
        <v>10000</v>
      </c>
      <c r="G25" s="3">
        <f>F25*C25</f>
        <v/>
      </c>
    </row>
    <row r="26">
      <c r="A26" s="3" t="inlineStr">
        <is>
          <t>2026-04-23</t>
        </is>
      </c>
      <c r="B26" s="3" t="inlineStr">
        <is>
          <t>USD/CNY</t>
        </is>
      </c>
      <c r="C26" s="3" t="n">
        <v>7.19</v>
      </c>
      <c r="D26" s="3" t="n">
        <v>7.3</v>
      </c>
      <c r="E26" s="4" t="inlineStr">
        <is>
          <t>-1.51%</t>
        </is>
      </c>
      <c r="F26" s="3" t="n">
        <v>10000</v>
      </c>
      <c r="G26" s="3">
        <f>F26*C26</f>
        <v/>
      </c>
    </row>
    <row r="27">
      <c r="A27" s="3" t="inlineStr">
        <is>
          <t>2026-04-24</t>
        </is>
      </c>
      <c r="B27" s="3" t="inlineStr">
        <is>
          <t>USD/CNY</t>
        </is>
      </c>
      <c r="C27" s="3" t="n">
        <v>7.21</v>
      </c>
      <c r="D27" s="3" t="n">
        <v>7.3</v>
      </c>
      <c r="E27" s="4" t="inlineStr">
        <is>
          <t>-1.23%</t>
        </is>
      </c>
      <c r="F27" s="3" t="n">
        <v>10000</v>
      </c>
      <c r="G27" s="3">
        <f>F27*C27</f>
        <v/>
      </c>
    </row>
    <row r="28">
      <c r="A28" s="3" t="inlineStr">
        <is>
          <t>2026-04-25</t>
        </is>
      </c>
      <c r="B28" s="3" t="inlineStr">
        <is>
          <t>USD/CNY</t>
        </is>
      </c>
      <c r="C28" s="3" t="n">
        <v>7.23</v>
      </c>
      <c r="D28" s="3" t="n">
        <v>7.3</v>
      </c>
      <c r="E28" s="3" t="inlineStr">
        <is>
          <t>-0.96%</t>
        </is>
      </c>
      <c r="F28" s="3" t="n">
        <v>10000</v>
      </c>
      <c r="G28" s="3">
        <f>F28*C28</f>
        <v/>
      </c>
    </row>
    <row r="29">
      <c r="A29" s="3" t="inlineStr">
        <is>
          <t>2026-04-26</t>
        </is>
      </c>
      <c r="B29" s="3" t="inlineStr">
        <is>
          <t>USD/CNY</t>
        </is>
      </c>
      <c r="C29" s="3" t="n">
        <v>7.25</v>
      </c>
      <c r="D29" s="3" t="n">
        <v>7.3</v>
      </c>
      <c r="E29" s="3" t="inlineStr">
        <is>
          <t>-0.68%</t>
        </is>
      </c>
      <c r="F29" s="3" t="n">
        <v>10000</v>
      </c>
      <c r="G29" s="3">
        <f>F29*C29</f>
        <v/>
      </c>
    </row>
    <row r="30">
      <c r="A30" s="3" t="inlineStr">
        <is>
          <t>2026-04-27</t>
        </is>
      </c>
      <c r="B30" s="3" t="inlineStr">
        <is>
          <t>USD/CNY</t>
        </is>
      </c>
      <c r="C30" s="3" t="n">
        <v>7.27</v>
      </c>
      <c r="D30" s="3" t="n">
        <v>7.3</v>
      </c>
      <c r="E30" s="3" t="inlineStr">
        <is>
          <t>-0.41%</t>
        </is>
      </c>
      <c r="F30" s="3" t="n">
        <v>10000</v>
      </c>
      <c r="G30" s="3">
        <f>F30*C30</f>
        <v/>
      </c>
    </row>
    <row r="31">
      <c r="A31" s="3" t="inlineStr">
        <is>
          <t>2026-04-28</t>
        </is>
      </c>
      <c r="B31" s="3" t="inlineStr">
        <is>
          <t>USD/CNY</t>
        </is>
      </c>
      <c r="C31" s="3" t="n">
        <v>7.29</v>
      </c>
      <c r="D31" s="3" t="n">
        <v>7.3</v>
      </c>
      <c r="E31" s="3" t="inlineStr">
        <is>
          <t>-0.14%</t>
        </is>
      </c>
      <c r="F31" s="3" t="n">
        <v>10000</v>
      </c>
      <c r="G31" s="3">
        <f>F31*C31</f>
        <v/>
      </c>
    </row>
    <row r="32">
      <c r="A32" s="3" t="inlineStr">
        <is>
          <t>2026-04-29</t>
        </is>
      </c>
      <c r="B32" s="3" t="inlineStr">
        <is>
          <t>USD/CNY</t>
        </is>
      </c>
      <c r="C32" s="3" t="n">
        <v>7.31</v>
      </c>
      <c r="D32" s="3" t="n">
        <v>7.3</v>
      </c>
      <c r="E32" s="3" t="inlineStr">
        <is>
          <t>0.14%</t>
        </is>
      </c>
      <c r="F32" s="3" t="n">
        <v>10000</v>
      </c>
      <c r="G32" s="3">
        <f>F32*C32</f>
        <v/>
      </c>
    </row>
    <row r="33">
      <c r="A33" s="3" t="inlineStr">
        <is>
          <t>2026-04-30</t>
        </is>
      </c>
      <c r="B33" s="3" t="inlineStr">
        <is>
          <t>USD/CNY</t>
        </is>
      </c>
      <c r="C33" s="3" t="n">
        <v>7.33</v>
      </c>
      <c r="D33" s="3" t="n">
        <v>7.3</v>
      </c>
      <c r="E33" s="3" t="inlineStr">
        <is>
          <t>0.41%</t>
        </is>
      </c>
      <c r="F33" s="3" t="n">
        <v>10000</v>
      </c>
      <c r="G33" s="3">
        <f>F33*C33</f>
        <v/>
      </c>
    </row>
    <row r="35">
      <c r="A35" s="5" t="inlineStr">
        <is>
          <t>统计</t>
        </is>
      </c>
      <c r="C35">
        <f>AVERAGE(C4:C33)</f>
        <v/>
      </c>
      <c r="D35">
        <f>AVERAGE(D4:D33)</f>
        <v/>
      </c>
      <c r="E35">
        <f>AVERAGE(E4:E33)</f>
        <v/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5" customWidth="1" min="7" max="7"/>
    <col width="10" customWidth="1" min="8" max="8"/>
  </cols>
  <sheetData>
    <row r="1">
      <c r="A1" s="1" t="inlineStr">
        <is>
          <t>远期锁汇记录表</t>
        </is>
      </c>
    </row>
    <row r="3">
      <c r="A3" s="2" t="inlineStr">
        <is>
          <t>锁汇编号</t>
        </is>
      </c>
      <c r="B3" s="2" t="inlineStr">
        <is>
          <t>锁汇日期</t>
        </is>
      </c>
      <c r="C3" s="2" t="inlineStr">
        <is>
          <t>到期日期</t>
        </is>
      </c>
      <c r="D3" s="2" t="inlineStr">
        <is>
          <t>锁汇金额(USD)</t>
        </is>
      </c>
      <c r="E3" s="2" t="inlineStr">
        <is>
          <t>锁汇汇率</t>
        </is>
      </c>
      <c r="F3" s="2" t="inlineStr">
        <is>
          <t>到期汇率</t>
        </is>
      </c>
      <c r="G3" s="2" t="inlineStr">
        <is>
          <t>锁定收益(CNY)</t>
        </is>
      </c>
      <c r="H3" s="2" t="inlineStr">
        <is>
          <t>状态</t>
        </is>
      </c>
    </row>
    <row r="4">
      <c r="A4" s="6" t="inlineStr">
        <is>
          <t>L001</t>
        </is>
      </c>
      <c r="B4" s="6" t="inlineStr">
        <is>
          <t>2026-03-01</t>
        </is>
      </c>
      <c r="C4" s="6" t="inlineStr">
        <is>
          <t>2026-06-01</t>
        </is>
      </c>
      <c r="D4" s="6" t="n">
        <v>50000</v>
      </c>
      <c r="E4" s="6" t="n">
        <v>7.28</v>
      </c>
      <c r="F4" s="6" t="n">
        <v>7.25</v>
      </c>
      <c r="G4" s="6">
        <f>(F4-C4)*D4</f>
        <v/>
      </c>
      <c r="H4" s="6" t="inlineStr">
        <is>
          <t>已完成</t>
        </is>
      </c>
    </row>
    <row r="5">
      <c r="A5" s="6" t="inlineStr">
        <is>
          <t>L002</t>
        </is>
      </c>
      <c r="B5" s="6" t="inlineStr">
        <is>
          <t>2026-03-15</t>
        </is>
      </c>
      <c r="C5" s="6" t="inlineStr">
        <is>
          <t>2026-06-15</t>
        </is>
      </c>
      <c r="D5" s="6" t="n">
        <v>30000</v>
      </c>
      <c r="E5" s="6" t="n">
        <v>7.3</v>
      </c>
      <c r="F5" s="6" t="n">
        <v>7.22</v>
      </c>
      <c r="G5" s="6">
        <f>(F5-C5)*D5</f>
        <v/>
      </c>
      <c r="H5" s="6" t="inlineStr">
        <is>
          <t>已完成</t>
        </is>
      </c>
    </row>
    <row r="6">
      <c r="A6" s="6" t="inlineStr">
        <is>
          <t>L003</t>
        </is>
      </c>
      <c r="B6" s="6" t="inlineStr">
        <is>
          <t>2026-04-01</t>
        </is>
      </c>
      <c r="C6" s="6" t="inlineStr">
        <is>
          <t>2026-07-01</t>
        </is>
      </c>
      <c r="D6" s="6" t="n">
        <v>80000</v>
      </c>
      <c r="E6" s="6" t="n">
        <v>7.25</v>
      </c>
      <c r="F6" s="6" t="inlineStr"/>
      <c r="G6" s="6" t="inlineStr"/>
      <c r="H6" s="6" t="inlineStr">
        <is>
          <t>执行中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5" customWidth="1" min="5" max="5"/>
    <col width="12" customWidth="1" min="6" max="6"/>
  </cols>
  <sheetData>
    <row r="1">
      <c r="A1" s="1" t="inlineStr">
        <is>
          <t>汇率敏感性分析表</t>
        </is>
      </c>
    </row>
    <row r="3">
      <c r="A3" s="5" t="inlineStr">
        <is>
          <t>基于订单金额：$50,000</t>
        </is>
      </c>
    </row>
    <row r="5">
      <c r="A5" s="2" t="inlineStr">
        <is>
          <t>汇率</t>
        </is>
      </c>
      <c r="B5" s="2" t="inlineStr">
        <is>
          <t>汇率变动</t>
        </is>
      </c>
      <c r="C5" s="2" t="inlineStr">
        <is>
          <t>人民币收入</t>
        </is>
      </c>
      <c r="D5" s="2" t="inlineStr">
        <is>
          <t>vs目标收益</t>
        </is>
      </c>
      <c r="E5" s="2" t="inlineStr">
        <is>
          <t>vs当前汇率</t>
        </is>
      </c>
      <c r="F5" s="2" t="inlineStr">
        <is>
          <t>建议</t>
        </is>
      </c>
    </row>
    <row r="6">
      <c r="A6" s="3" t="n">
        <v>7.1</v>
      </c>
      <c r="B6" s="3" t="inlineStr">
        <is>
          <t>-2.74%</t>
        </is>
      </c>
      <c r="C6" s="3" t="n">
        <v>355000</v>
      </c>
      <c r="D6" s="3" t="n">
        <v>-10000</v>
      </c>
      <c r="E6" s="3" t="n">
        <v>-7500</v>
      </c>
      <c r="F6" s="3" t="inlineStr">
        <is>
          <t>观望</t>
        </is>
      </c>
    </row>
    <row r="7">
      <c r="A7" s="3" t="n">
        <v>7.15</v>
      </c>
      <c r="B7" s="3" t="inlineStr">
        <is>
          <t>-2.05%</t>
        </is>
      </c>
      <c r="C7" s="3" t="n">
        <v>357500</v>
      </c>
      <c r="D7" s="3" t="n">
        <v>-7500</v>
      </c>
      <c r="E7" s="3" t="n">
        <v>-5000</v>
      </c>
      <c r="F7" s="3" t="inlineStr">
        <is>
          <t>观察</t>
        </is>
      </c>
    </row>
    <row r="8">
      <c r="A8" s="3" t="n">
        <v>7.2</v>
      </c>
      <c r="B8" s="3" t="inlineStr">
        <is>
          <t>-1.37%</t>
        </is>
      </c>
      <c r="C8" s="3" t="n">
        <v>360000</v>
      </c>
      <c r="D8" s="3" t="n">
        <v>-5000</v>
      </c>
      <c r="E8" s="3" t="n">
        <v>-2500</v>
      </c>
      <c r="F8" s="3" t="inlineStr">
        <is>
          <t>观察</t>
        </is>
      </c>
    </row>
    <row r="9">
      <c r="A9" s="3" t="n">
        <v>7.25</v>
      </c>
      <c r="B9" s="3" t="inlineStr">
        <is>
          <t>-0.68%</t>
        </is>
      </c>
      <c r="C9" s="3" t="n">
        <v>362500</v>
      </c>
      <c r="D9" s="3" t="n">
        <v>-2500</v>
      </c>
      <c r="E9" s="3" t="n">
        <v>0</v>
      </c>
      <c r="F9" s="3" t="inlineStr">
        <is>
          <t>观察</t>
        </is>
      </c>
    </row>
    <row r="10">
      <c r="A10" s="3" t="n">
        <v>7.3</v>
      </c>
      <c r="B10" s="3" t="inlineStr">
        <is>
          <t>0%</t>
        </is>
      </c>
      <c r="C10" s="3" t="n">
        <v>365000</v>
      </c>
      <c r="D10" s="3" t="n">
        <v>0</v>
      </c>
      <c r="E10" s="3" t="n">
        <v>2500</v>
      </c>
      <c r="F10" s="3" t="inlineStr">
        <is>
          <t>观察</t>
        </is>
      </c>
    </row>
    <row r="11">
      <c r="A11" s="3" t="n">
        <v>7.35</v>
      </c>
      <c r="B11" s="3" t="inlineStr">
        <is>
          <t>+0.68%</t>
        </is>
      </c>
      <c r="C11" s="3" t="n">
        <v>367500</v>
      </c>
      <c r="D11" s="3" t="n">
        <v>2500</v>
      </c>
      <c r="E11" s="3" t="n">
        <v>5000</v>
      </c>
      <c r="F11" s="3" t="inlineStr">
        <is>
          <t>观察</t>
        </is>
      </c>
    </row>
    <row r="12">
      <c r="A12" s="3" t="n">
        <v>7.4</v>
      </c>
      <c r="B12" s="3" t="inlineStr">
        <is>
          <t>+1.37%</t>
        </is>
      </c>
      <c r="C12" s="3" t="n">
        <v>370000</v>
      </c>
      <c r="D12" s="3" t="n">
        <v>5000</v>
      </c>
      <c r="E12" s="3" t="n">
        <v>7500</v>
      </c>
      <c r="F12" s="3" t="inlineStr">
        <is>
          <t>结汇</t>
        </is>
      </c>
    </row>
    <row r="13">
      <c r="A13" s="3" t="n">
        <v>7.45</v>
      </c>
      <c r="B13" s="3" t="inlineStr">
        <is>
          <t>+2.05%</t>
        </is>
      </c>
      <c r="C13" s="3" t="n">
        <v>372500</v>
      </c>
      <c r="D13" s="3" t="n">
        <v>7500</v>
      </c>
      <c r="E13" s="3" t="n">
        <v>10000</v>
      </c>
      <c r="F13" s="3" t="inlineStr">
        <is>
          <t>结汇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2026-04-26T01:00:11Z</dcterms:created>
  <dcterms:modified xmlns:dcterms="http://purl.org/dc/terms/" xmlns:xsi="http://www.w3.org/2001/XMLSchema-instance" xsi:type="dcterms:W3CDTF">2026-04-26T01:00:11Z</dcterms:modified>
</cp:coreProperties>
</file>